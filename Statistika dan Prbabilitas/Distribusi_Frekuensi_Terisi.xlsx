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komi\Documents\Tugas-Tugas-Coolyeah\Statistika dan Prbabilitas\"/>
    </mc:Choice>
  </mc:AlternateContent>
  <xr:revisionPtr revIDLastSave="0" documentId="13_ncr:1_{DEEEFE91-E7F9-4B2F-A882-231568C5A76D}" xr6:coauthVersionLast="47" xr6:coauthVersionMax="47" xr10:uidLastSave="{00000000-0000-0000-0000-000000000000}"/>
  <bookViews>
    <workbookView xWindow="2730" yWindow="2730" windowWidth="21600" windowHeight="1129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1" l="1"/>
  <c r="F5" i="1"/>
  <c r="F6" i="1" s="1"/>
  <c r="D18" i="1"/>
  <c r="D19" i="1" s="1"/>
  <c r="D20" i="1" s="1"/>
  <c r="D21" i="1" s="1"/>
  <c r="D22" i="1" s="1"/>
  <c r="D23" i="1" s="1"/>
  <c r="D10" i="1"/>
  <c r="D11" i="1" s="1"/>
  <c r="D12" i="1" s="1"/>
  <c r="D13" i="1" s="1"/>
  <c r="D14" i="1" s="1"/>
  <c r="D15" i="1" s="1"/>
  <c r="E9" i="1"/>
  <c r="F17" i="1" s="1"/>
  <c r="G17" i="1" l="1"/>
  <c r="K17" i="1"/>
  <c r="J17" i="1"/>
  <c r="F9" i="1"/>
  <c r="E10" i="1" l="1"/>
  <c r="I17" i="1"/>
  <c r="G9" i="1"/>
  <c r="E17" i="1" s="1"/>
  <c r="F10" i="1" l="1"/>
  <c r="F18" i="1"/>
  <c r="E11" i="1" l="1"/>
  <c r="G10" i="1"/>
  <c r="E18" i="1" s="1"/>
  <c r="I18" i="1"/>
  <c r="J18" i="1"/>
  <c r="G18" i="1"/>
  <c r="K18" i="1"/>
  <c r="F19" i="1" l="1"/>
  <c r="F11" i="1"/>
  <c r="E12" i="1" l="1"/>
  <c r="G11" i="1"/>
  <c r="E19" i="1" s="1"/>
  <c r="J19" i="1"/>
  <c r="G19" i="1"/>
  <c r="K19" i="1"/>
  <c r="I19" i="1"/>
  <c r="F12" i="1" l="1"/>
  <c r="F20" i="1"/>
  <c r="K20" i="1" l="1"/>
  <c r="J20" i="1"/>
  <c r="G20" i="1"/>
  <c r="E13" i="1"/>
  <c r="I20" i="1"/>
  <c r="G12" i="1"/>
  <c r="E20" i="1" s="1"/>
  <c r="F13" i="1" l="1"/>
  <c r="I21" i="1" s="1"/>
  <c r="F21" i="1"/>
  <c r="J21" i="1" l="1"/>
  <c r="G21" i="1"/>
  <c r="K21" i="1"/>
  <c r="E14" i="1"/>
  <c r="G13" i="1"/>
  <c r="E21" i="1" s="1"/>
  <c r="F22" i="1" l="1"/>
  <c r="F14" i="1"/>
  <c r="E15" i="1" s="1"/>
  <c r="F15" i="1" l="1"/>
  <c r="H17" i="1" s="1" a="1"/>
  <c r="F23" i="1"/>
  <c r="G14" i="1"/>
  <c r="E22" i="1" s="1"/>
  <c r="J22" i="1"/>
  <c r="G22" i="1"/>
  <c r="K22" i="1"/>
  <c r="I22" i="1"/>
  <c r="K23" i="1" l="1"/>
  <c r="J23" i="1"/>
  <c r="G23" i="1"/>
  <c r="H17" i="1"/>
  <c r="H21" i="1"/>
  <c r="H20" i="1"/>
  <c r="H18" i="1"/>
  <c r="H19" i="1"/>
  <c r="H23" i="1"/>
  <c r="H22" i="1"/>
  <c r="L22" i="1" s="1"/>
  <c r="I23" i="1"/>
  <c r="G15" i="1"/>
  <c r="E23" i="1" s="1"/>
  <c r="L23" i="1" l="1"/>
  <c r="L18" i="1"/>
  <c r="L19" i="1"/>
  <c r="L20" i="1"/>
  <c r="L21" i="1"/>
  <c r="H24" i="1"/>
  <c r="L17" i="1"/>
  <c r="L24" i="1" l="1"/>
</calcChain>
</file>

<file path=xl/sharedStrings.xml><?xml version="1.0" encoding="utf-8"?>
<sst xmlns="http://schemas.openxmlformats.org/spreadsheetml/2006/main" count="42" uniqueCount="34">
  <si>
    <t>Menghitung Distribusi Frekuensi Nilai TOEFL Staf Pengajar</t>
  </si>
  <si>
    <t>Keterangan:</t>
  </si>
  <si>
    <t>No</t>
  </si>
  <si>
    <t>Skor TOEFL</t>
  </si>
  <si>
    <t>Ujung Atas Kelas Interval</t>
  </si>
  <si>
    <t>E8=E9+($F$6-1)</t>
  </si>
  <si>
    <t>Hitung nilai range</t>
  </si>
  <si>
    <t>Range =</t>
  </si>
  <si>
    <t>Kelas Interval</t>
  </si>
  <si>
    <t>G9=CONCATENATE(E9;"-";F9)</t>
  </si>
  <si>
    <t>Hitung jumlah kelas</t>
  </si>
  <si>
    <t>Jumlah Kelas (K) =</t>
  </si>
  <si>
    <t>Tepi Kelas</t>
  </si>
  <si>
    <t>F17=E9-0,5</t>
  </si>
  <si>
    <t xml:space="preserve">Hitung Interval Kelas </t>
  </si>
  <si>
    <t>Interval Kelas (i) =</t>
  </si>
  <si>
    <t>Batas Kelas</t>
  </si>
  <si>
    <t>G18=CONCATENATE(F17;"-";F18)</t>
  </si>
  <si>
    <t>Frekuensi</t>
  </si>
  <si>
    <t>H17=FREQUENCY($B$4:$B$23;F17:F23)</t>
  </si>
  <si>
    <t>No Kelas</t>
  </si>
  <si>
    <t>Ujung bawah kelas Interval</t>
  </si>
  <si>
    <t>Ujung atas kelas interval</t>
  </si>
  <si>
    <t>Kelas interval</t>
  </si>
  <si>
    <t>X</t>
  </si>
  <si>
    <t>I18=MEDIAN(B4:B5)</t>
  </si>
  <si>
    <t>fk&lt;</t>
  </si>
  <si>
    <t>J18=COUNTIF($B$4:$B$23;"&lt;"&amp;F17)</t>
  </si>
  <si>
    <t>fk&gt;</t>
  </si>
  <si>
    <t>K18=COUNTIF($B$4:$B$23;"&gt;="&amp;F17)</t>
  </si>
  <si>
    <t>Frekuensi Relatif</t>
  </si>
  <si>
    <t>L18==H18/SUM($H$18:$H$23)</t>
  </si>
  <si>
    <t>frekuensi relatif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</si>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</sst>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  <charset val="1"/>
    </font>
    <font>
      <b/>
      <sz val="11"/>
      <name val="Cambria"/>
      <charset val="1"/>
    </font>
    <font>
      <sz val="12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87182226020086"/>
        <bgColor rgb="FFD9D9D9"/>
      </patternFill>
    </fill>
    <fill>
      <patternFill patternType="solid">
        <fgColor rgb="FF00B0F0"/>
        <bgColor rgb="FF33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164" fontId="0" fillId="0" borderId="1" xfId="0" applyNumberFormat="1" applyBorder="1"/>
    <xf numFmtId="164" fontId="3" fillId="0" borderId="1" xfId="1" applyNumberFormat="1" applyBorder="1"/>
    <xf numFmtId="0" fontId="0" fillId="0" borderId="2" xfId="0" applyBorder="1"/>
    <xf numFmtId="0" fontId="2" fillId="0" borderId="1" xfId="0" applyFont="1" applyBorder="1"/>
    <xf numFmtId="164" fontId="2" fillId="0" borderId="1" xfId="0" applyNumberFormat="1" applyFont="1" applyBorder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Distribusi Frekuensi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Sheet1!$E$18:$E$23</c:f>
              <c:strCache>
                <c:ptCount val="6"/>
                <c:pt idx="0">
                  <c:v>104-119</c:v>
                </c:pt>
                <c:pt idx="1">
                  <c:v>120-135</c:v>
                </c:pt>
                <c:pt idx="2">
                  <c:v>136-151</c:v>
                </c:pt>
                <c:pt idx="3">
                  <c:v>152-167</c:v>
                </c:pt>
                <c:pt idx="4">
                  <c:v>168-183</c:v>
                </c:pt>
                <c:pt idx="5">
                  <c:v>184-199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Sheet1!$E$18:$E$23</c:f>
              <c:strCache>
                <c:ptCount val="6"/>
                <c:pt idx="0">
                  <c:v>104-119</c:v>
                </c:pt>
                <c:pt idx="1">
                  <c:v>120-135</c:v>
                </c:pt>
                <c:pt idx="2">
                  <c:v>136-151</c:v>
                </c:pt>
                <c:pt idx="3">
                  <c:v>152-167</c:v>
                </c:pt>
                <c:pt idx="4">
                  <c:v>168-183</c:v>
                </c:pt>
                <c:pt idx="5">
                  <c:v>184-199</c:v>
                </c:pt>
              </c:strCache>
            </c:strRef>
          </c:cat>
          <c:val>
            <c:numRef>
              <c:f>Sheet1!$H$18:$H$23</c:f>
              <c:numCache>
                <c:formatCode>General</c:formatCode>
                <c:ptCount val="6"/>
                <c:pt idx="0">
                  <c:v>13</c:v>
                </c:pt>
                <c:pt idx="1">
                  <c:v>10</c:v>
                </c:pt>
                <c:pt idx="2">
                  <c:v>7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3-43D1-98AE-B9DFFDED9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98888"/>
        <c:axId val="28165031"/>
      </c:barChart>
      <c:catAx>
        <c:axId val="60198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28165031"/>
        <c:crosses val="autoZero"/>
        <c:auto val="1"/>
        <c:lblAlgn val="ctr"/>
        <c:lblOffset val="100"/>
        <c:noMultiLvlLbl val="0"/>
      </c:catAx>
      <c:valAx>
        <c:axId val="281650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01988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Frekuensi Kumulatif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Sheet1!$J$16</c:f>
              <c:strCache>
                <c:ptCount val="1"/>
                <c:pt idx="0">
                  <c:v>fk&lt;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Sheet1!$F$17:$F$23</c:f>
              <c:numCache>
                <c:formatCode>General</c:formatCode>
                <c:ptCount val="7"/>
                <c:pt idx="0">
                  <c:v>87.5</c:v>
                </c:pt>
                <c:pt idx="1">
                  <c:v>103.5</c:v>
                </c:pt>
                <c:pt idx="2">
                  <c:v>119.5</c:v>
                </c:pt>
                <c:pt idx="3">
                  <c:v>135.5</c:v>
                </c:pt>
                <c:pt idx="4">
                  <c:v>151.5</c:v>
                </c:pt>
                <c:pt idx="5">
                  <c:v>167.5</c:v>
                </c:pt>
                <c:pt idx="6">
                  <c:v>183.5</c:v>
                </c:pt>
              </c:numCache>
            </c:numRef>
          </c:cat>
          <c:val>
            <c:numRef>
              <c:f>Sheet1!$J$17:$J$23</c:f>
              <c:numCache>
                <c:formatCode>General</c:formatCode>
                <c:ptCount val="7"/>
                <c:pt idx="0">
                  <c:v>0</c:v>
                </c:pt>
                <c:pt idx="1">
                  <c:v>11</c:v>
                </c:pt>
                <c:pt idx="2">
                  <c:v>24</c:v>
                </c:pt>
                <c:pt idx="3">
                  <c:v>34</c:v>
                </c:pt>
                <c:pt idx="4">
                  <c:v>41</c:v>
                </c:pt>
                <c:pt idx="5">
                  <c:v>44</c:v>
                </c:pt>
                <c:pt idx="6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A-44A2-9811-652349619A6A}"/>
            </c:ext>
          </c:extLst>
        </c:ser>
        <c:ser>
          <c:idx val="1"/>
          <c:order val="1"/>
          <c:tx>
            <c:strRef>
              <c:f>Sheet1!$K$16</c:f>
              <c:strCache>
                <c:ptCount val="1"/>
                <c:pt idx="0">
                  <c:v>fk&gt;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Sheet1!$F$17:$F$23</c:f>
              <c:numCache>
                <c:formatCode>General</c:formatCode>
                <c:ptCount val="7"/>
                <c:pt idx="0">
                  <c:v>87.5</c:v>
                </c:pt>
                <c:pt idx="1">
                  <c:v>103.5</c:v>
                </c:pt>
                <c:pt idx="2">
                  <c:v>119.5</c:v>
                </c:pt>
                <c:pt idx="3">
                  <c:v>135.5</c:v>
                </c:pt>
                <c:pt idx="4">
                  <c:v>151.5</c:v>
                </c:pt>
                <c:pt idx="5">
                  <c:v>167.5</c:v>
                </c:pt>
                <c:pt idx="6">
                  <c:v>183.5</c:v>
                </c:pt>
              </c:numCache>
            </c:numRef>
          </c:cat>
          <c:val>
            <c:numRef>
              <c:f>Sheet1!$K$17:$K$23</c:f>
              <c:numCache>
                <c:formatCode>General</c:formatCode>
                <c:ptCount val="7"/>
                <c:pt idx="0">
                  <c:v>45</c:v>
                </c:pt>
                <c:pt idx="1">
                  <c:v>34</c:v>
                </c:pt>
                <c:pt idx="2">
                  <c:v>21</c:v>
                </c:pt>
                <c:pt idx="3">
                  <c:v>11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A-44A2-9811-652349619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9670023"/>
        <c:axId val="15245908"/>
      </c:lineChart>
      <c:catAx>
        <c:axId val="696700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5245908"/>
        <c:crosses val="autoZero"/>
        <c:auto val="1"/>
        <c:lblAlgn val="ctr"/>
        <c:lblOffset val="100"/>
        <c:noMultiLvlLbl val="0"/>
      </c:catAx>
      <c:valAx>
        <c:axId val="152459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96700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812880</xdr:colOff>
      <xdr:row>27</xdr:row>
      <xdr:rowOff>177840</xdr:rowOff>
    </xdr:from>
    <xdr:to>
      <xdr:col>6</xdr:col>
      <xdr:colOff>203040</xdr:colOff>
      <xdr:row>44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694440</xdr:colOff>
      <xdr:row>27</xdr:row>
      <xdr:rowOff>144000</xdr:rowOff>
    </xdr:from>
    <xdr:to>
      <xdr:col>11</xdr:col>
      <xdr:colOff>863280</xdr:colOff>
      <xdr:row>44</xdr:row>
      <xdr:rowOff>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topLeftCell="C1" zoomScale="90" zoomScaleNormal="90" workbookViewId="0">
      <selection activeCell="E4" sqref="E4"/>
    </sheetView>
  </sheetViews>
  <sheetFormatPr defaultColWidth="11" defaultRowHeight="15.75" x14ac:dyDescent="0.25"/>
  <cols>
    <col min="1" max="1" width="20" customWidth="1"/>
    <col min="2" max="2" width="23.375" customWidth="1"/>
    <col min="3" max="3" width="20.375" customWidth="1"/>
    <col min="4" max="4" width="19.5" customWidth="1"/>
    <col min="5" max="5" width="25.375" customWidth="1"/>
    <col min="6" max="6" width="21.125" customWidth="1"/>
    <col min="7" max="7" width="20.625" customWidth="1"/>
    <col min="12" max="12" width="15.875" customWidth="1"/>
    <col min="14" max="14" width="24.125" customWidth="1"/>
    <col min="15" max="15" width="34.6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x14ac:dyDescent="0.25">
      <c r="N2" s="2" t="s">
        <v>1</v>
      </c>
      <c r="O2" s="2"/>
    </row>
    <row r="3" spans="1:15" x14ac:dyDescent="0.25">
      <c r="A3" s="3" t="s">
        <v>2</v>
      </c>
      <c r="B3" s="3" t="s">
        <v>3</v>
      </c>
      <c r="N3" s="4" t="s">
        <v>4</v>
      </c>
      <c r="O3" s="2" t="s">
        <v>5</v>
      </c>
    </row>
    <row r="4" spans="1:15" x14ac:dyDescent="0.25">
      <c r="A4" s="2">
        <v>1</v>
      </c>
      <c r="B4" s="2">
        <v>96</v>
      </c>
      <c r="D4" s="4" t="s">
        <v>6</v>
      </c>
      <c r="E4" s="2" t="s">
        <v>7</v>
      </c>
      <c r="F4">
        <f>MAX(B4:B48)-MIN(B4:B48)</f>
        <v>106</v>
      </c>
      <c r="N4" s="4" t="s">
        <v>8</v>
      </c>
      <c r="O4" s="2" t="s">
        <v>9</v>
      </c>
    </row>
    <row r="5" spans="1:15" x14ac:dyDescent="0.25">
      <c r="A5" s="2">
        <v>2</v>
      </c>
      <c r="B5" s="2">
        <v>139</v>
      </c>
      <c r="D5" s="4" t="s">
        <v>10</v>
      </c>
      <c r="E5" s="2" t="s">
        <v>11</v>
      </c>
      <c r="F5">
        <f>ROUNDUP(1+3.3*LOG10(COUNT(B4:B48)),0)</f>
        <v>7</v>
      </c>
      <c r="N5" s="4" t="s">
        <v>12</v>
      </c>
      <c r="O5" s="2" t="s">
        <v>13</v>
      </c>
    </row>
    <row r="6" spans="1:15" x14ac:dyDescent="0.25">
      <c r="A6" s="2">
        <v>3</v>
      </c>
      <c r="B6" s="2">
        <v>112</v>
      </c>
      <c r="D6" s="4" t="s">
        <v>14</v>
      </c>
      <c r="E6" s="2" t="s">
        <v>15</v>
      </c>
      <c r="F6">
        <f>ROUNDUP(F4/F5,0)</f>
        <v>16</v>
      </c>
      <c r="N6" s="4" t="s">
        <v>16</v>
      </c>
      <c r="O6" s="2" t="s">
        <v>17</v>
      </c>
    </row>
    <row r="7" spans="1:15" x14ac:dyDescent="0.25">
      <c r="A7" s="2">
        <v>4</v>
      </c>
      <c r="B7" s="2">
        <v>118</v>
      </c>
      <c r="N7" s="4" t="s">
        <v>18</v>
      </c>
      <c r="O7" s="2" t="s">
        <v>19</v>
      </c>
    </row>
    <row r="8" spans="1:15" x14ac:dyDescent="0.25">
      <c r="A8" s="2">
        <v>5</v>
      </c>
      <c r="B8" s="2">
        <v>94</v>
      </c>
      <c r="D8" s="5" t="s">
        <v>20</v>
      </c>
      <c r="E8" s="5" t="s">
        <v>21</v>
      </c>
      <c r="F8" s="5" t="s">
        <v>22</v>
      </c>
      <c r="G8" s="5" t="s">
        <v>23</v>
      </c>
      <c r="N8" s="4" t="s">
        <v>24</v>
      </c>
      <c r="O8" s="2" t="s">
        <v>25</v>
      </c>
    </row>
    <row r="9" spans="1:15" x14ac:dyDescent="0.25">
      <c r="A9" s="2">
        <v>6</v>
      </c>
      <c r="B9" s="2">
        <v>93</v>
      </c>
      <c r="D9" s="2">
        <v>1</v>
      </c>
      <c r="E9" s="2">
        <f>MIN($B$4:$B$48)</f>
        <v>88</v>
      </c>
      <c r="F9" s="2">
        <f t="shared" ref="F9:F15" si="0">E9+($F$6-1)</f>
        <v>103</v>
      </c>
      <c r="G9" s="2" t="str">
        <f t="shared" ref="G9:G15" si="1">CONCATENATE(E9,"-",F9)</f>
        <v>88-103</v>
      </c>
      <c r="N9" s="4" t="s">
        <v>26</v>
      </c>
      <c r="O9" s="2" t="s">
        <v>27</v>
      </c>
    </row>
    <row r="10" spans="1:15" x14ac:dyDescent="0.25">
      <c r="A10" s="2">
        <v>7</v>
      </c>
      <c r="B10" s="2">
        <v>142</v>
      </c>
      <c r="D10" s="2">
        <f t="shared" ref="D10:D15" si="2">D9+1</f>
        <v>2</v>
      </c>
      <c r="E10" s="2">
        <f t="shared" ref="E10:E15" si="3">F9+1</f>
        <v>104</v>
      </c>
      <c r="F10" s="2">
        <f t="shared" si="0"/>
        <v>119</v>
      </c>
      <c r="G10" s="2" t="str">
        <f t="shared" si="1"/>
        <v>104-119</v>
      </c>
      <c r="N10" s="4" t="s">
        <v>28</v>
      </c>
      <c r="O10" s="2" t="s">
        <v>29</v>
      </c>
    </row>
    <row r="11" spans="1:15" x14ac:dyDescent="0.25">
      <c r="A11" s="2">
        <v>8</v>
      </c>
      <c r="B11" s="2">
        <v>135</v>
      </c>
      <c r="D11" s="2">
        <f t="shared" si="2"/>
        <v>3</v>
      </c>
      <c r="E11" s="2">
        <f t="shared" si="3"/>
        <v>120</v>
      </c>
      <c r="F11" s="2">
        <f t="shared" si="0"/>
        <v>135</v>
      </c>
      <c r="G11" s="2" t="str">
        <f t="shared" si="1"/>
        <v>120-135</v>
      </c>
      <c r="N11" s="4" t="s">
        <v>30</v>
      </c>
      <c r="O11" s="2" t="s">
        <v>31</v>
      </c>
    </row>
    <row r="12" spans="1:15" x14ac:dyDescent="0.25">
      <c r="A12" s="2">
        <v>9</v>
      </c>
      <c r="B12" s="2">
        <v>136</v>
      </c>
      <c r="D12" s="2">
        <f t="shared" si="2"/>
        <v>4</v>
      </c>
      <c r="E12" s="2">
        <f t="shared" si="3"/>
        <v>136</v>
      </c>
      <c r="F12" s="2">
        <f t="shared" si="0"/>
        <v>151</v>
      </c>
      <c r="G12" s="2" t="str">
        <f t="shared" si="1"/>
        <v>136-151</v>
      </c>
    </row>
    <row r="13" spans="1:15" x14ac:dyDescent="0.25">
      <c r="A13" s="2">
        <v>10</v>
      </c>
      <c r="B13" s="2">
        <v>127</v>
      </c>
      <c r="D13" s="2">
        <f t="shared" si="2"/>
        <v>5</v>
      </c>
      <c r="E13" s="2">
        <f t="shared" si="3"/>
        <v>152</v>
      </c>
      <c r="F13" s="2">
        <f t="shared" si="0"/>
        <v>167</v>
      </c>
      <c r="G13" s="2" t="str">
        <f t="shared" si="1"/>
        <v>152-167</v>
      </c>
    </row>
    <row r="14" spans="1:15" x14ac:dyDescent="0.25">
      <c r="A14" s="2">
        <v>11</v>
      </c>
      <c r="B14" s="2">
        <v>88</v>
      </c>
      <c r="D14" s="2">
        <f t="shared" si="2"/>
        <v>6</v>
      </c>
      <c r="E14" s="2">
        <f t="shared" si="3"/>
        <v>168</v>
      </c>
      <c r="F14" s="2">
        <f t="shared" si="0"/>
        <v>183</v>
      </c>
      <c r="G14" s="2" t="str">
        <f t="shared" si="1"/>
        <v>168-183</v>
      </c>
    </row>
    <row r="15" spans="1:15" x14ac:dyDescent="0.25">
      <c r="A15" s="2">
        <v>12</v>
      </c>
      <c r="B15" s="2">
        <v>94</v>
      </c>
      <c r="D15">
        <f t="shared" si="2"/>
        <v>7</v>
      </c>
      <c r="E15">
        <f t="shared" si="3"/>
        <v>184</v>
      </c>
      <c r="F15">
        <f t="shared" si="0"/>
        <v>199</v>
      </c>
      <c r="G15" t="str">
        <f t="shared" si="1"/>
        <v>184-199</v>
      </c>
    </row>
    <row r="16" spans="1:15" x14ac:dyDescent="0.25">
      <c r="A16" s="2">
        <v>13</v>
      </c>
      <c r="B16" s="2">
        <v>132</v>
      </c>
      <c r="D16" s="6" t="s">
        <v>20</v>
      </c>
      <c r="E16" s="6" t="s">
        <v>8</v>
      </c>
      <c r="F16" s="6" t="s">
        <v>12</v>
      </c>
      <c r="G16" s="6" t="s">
        <v>16</v>
      </c>
      <c r="H16" s="6" t="s">
        <v>18</v>
      </c>
      <c r="I16" s="6" t="s">
        <v>24</v>
      </c>
      <c r="J16" s="6" t="s">
        <v>26</v>
      </c>
      <c r="K16" s="6" t="s">
        <v>28</v>
      </c>
      <c r="L16" s="6" t="s">
        <v>32</v>
      </c>
    </row>
    <row r="17" spans="1:12" x14ac:dyDescent="0.25">
      <c r="A17" s="2">
        <v>14</v>
      </c>
      <c r="B17" s="2">
        <v>125</v>
      </c>
      <c r="D17" s="2">
        <v>1</v>
      </c>
      <c r="E17" s="2" t="str">
        <f t="shared" ref="E17:E23" si="4">G9</f>
        <v>88-103</v>
      </c>
      <c r="F17" s="2">
        <f t="shared" ref="F17:F23" si="5">E9-0.5</f>
        <v>87.5</v>
      </c>
      <c r="G17" s="2" t="str">
        <f t="shared" ref="G17:G23" si="6">CONCATENATE(F17,"-",F17+$F$6)</f>
        <v>87,5-103,5</v>
      </c>
      <c r="H17" s="2">
        <f t="array" ref="H17:H23">FREQUENCY(B4:B48,F9:F15)</f>
        <v>11</v>
      </c>
      <c r="I17" s="2">
        <f t="shared" ref="I17:I23" si="7">(E9+F9)/2</f>
        <v>95.5</v>
      </c>
      <c r="J17" s="2">
        <f t="shared" ref="J17:J23" si="8">COUNTIF($B$4:$B$48,"&lt;"&amp;F17)</f>
        <v>0</v>
      </c>
      <c r="K17" s="2">
        <f t="shared" ref="K17:K23" si="9">COUNTIF($B$4:$B$48,"&gt;="&amp;F17)</f>
        <v>45</v>
      </c>
      <c r="L17" s="7">
        <f t="shared" ref="L17:L23" si="10">H17/SUM($H$17:$H$23)</f>
        <v>0.24444444444444444</v>
      </c>
    </row>
    <row r="18" spans="1:12" x14ac:dyDescent="0.25">
      <c r="A18" s="2">
        <v>15</v>
      </c>
      <c r="B18" s="2">
        <v>119</v>
      </c>
      <c r="D18" s="2">
        <f t="shared" ref="D18:D23" si="11">D17+1</f>
        <v>2</v>
      </c>
      <c r="E18" s="2" t="str">
        <f t="shared" si="4"/>
        <v>104-119</v>
      </c>
      <c r="F18" s="2">
        <f t="shared" si="5"/>
        <v>103.5</v>
      </c>
      <c r="G18" s="2" t="str">
        <f t="shared" si="6"/>
        <v>103,5-119,5</v>
      </c>
      <c r="H18" s="2">
        <v>13</v>
      </c>
      <c r="I18" s="2">
        <f t="shared" si="7"/>
        <v>111.5</v>
      </c>
      <c r="J18" s="2">
        <f t="shared" si="8"/>
        <v>11</v>
      </c>
      <c r="K18" s="2">
        <f t="shared" si="9"/>
        <v>34</v>
      </c>
      <c r="L18" s="8">
        <f t="shared" si="10"/>
        <v>0.28888888888888886</v>
      </c>
    </row>
    <row r="19" spans="1:12" x14ac:dyDescent="0.25">
      <c r="A19" s="2">
        <v>16</v>
      </c>
      <c r="B19" s="2">
        <v>117</v>
      </c>
      <c r="D19" s="2">
        <f t="shared" si="11"/>
        <v>3</v>
      </c>
      <c r="E19" s="2" t="str">
        <f t="shared" si="4"/>
        <v>120-135</v>
      </c>
      <c r="F19" s="2">
        <f t="shared" si="5"/>
        <v>119.5</v>
      </c>
      <c r="G19" s="2" t="str">
        <f t="shared" si="6"/>
        <v>119,5-135,5</v>
      </c>
      <c r="H19" s="2">
        <v>10</v>
      </c>
      <c r="I19" s="2">
        <f t="shared" si="7"/>
        <v>127.5</v>
      </c>
      <c r="J19" s="2">
        <f t="shared" si="8"/>
        <v>24</v>
      </c>
      <c r="K19" s="2">
        <f t="shared" si="9"/>
        <v>21</v>
      </c>
      <c r="L19" s="8">
        <f t="shared" si="10"/>
        <v>0.22222222222222221</v>
      </c>
    </row>
    <row r="20" spans="1:12" x14ac:dyDescent="0.25">
      <c r="A20" s="2">
        <v>17</v>
      </c>
      <c r="B20" s="2">
        <v>107</v>
      </c>
      <c r="D20" s="2">
        <f t="shared" si="11"/>
        <v>4</v>
      </c>
      <c r="E20" s="2" t="str">
        <f t="shared" si="4"/>
        <v>136-151</v>
      </c>
      <c r="F20" s="2">
        <f t="shared" si="5"/>
        <v>135.5</v>
      </c>
      <c r="G20" s="2" t="str">
        <f t="shared" si="6"/>
        <v>135,5-151,5</v>
      </c>
      <c r="H20" s="2">
        <v>7</v>
      </c>
      <c r="I20" s="2">
        <f t="shared" si="7"/>
        <v>143.5</v>
      </c>
      <c r="J20" s="2">
        <f t="shared" si="8"/>
        <v>34</v>
      </c>
      <c r="K20" s="2">
        <f t="shared" si="9"/>
        <v>11</v>
      </c>
      <c r="L20" s="8">
        <f t="shared" si="10"/>
        <v>0.15555555555555556</v>
      </c>
    </row>
    <row r="21" spans="1:12" x14ac:dyDescent="0.25">
      <c r="A21" s="2">
        <v>18</v>
      </c>
      <c r="B21" s="2">
        <v>111</v>
      </c>
      <c r="D21" s="2">
        <f t="shared" si="11"/>
        <v>5</v>
      </c>
      <c r="E21" s="2" t="str">
        <f t="shared" si="4"/>
        <v>152-167</v>
      </c>
      <c r="F21" s="2">
        <f t="shared" si="5"/>
        <v>151.5</v>
      </c>
      <c r="G21" s="2" t="str">
        <f t="shared" si="6"/>
        <v>151,5-167,5</v>
      </c>
      <c r="H21" s="2">
        <v>3</v>
      </c>
      <c r="I21" s="2">
        <f t="shared" si="7"/>
        <v>159.5</v>
      </c>
      <c r="J21" s="2">
        <f t="shared" si="8"/>
        <v>41</v>
      </c>
      <c r="K21" s="2">
        <f t="shared" si="9"/>
        <v>4</v>
      </c>
      <c r="L21" s="8">
        <f t="shared" si="10"/>
        <v>6.6666666666666666E-2</v>
      </c>
    </row>
    <row r="22" spans="1:12" x14ac:dyDescent="0.25">
      <c r="A22" s="2">
        <v>19</v>
      </c>
      <c r="B22" s="2">
        <v>143</v>
      </c>
      <c r="D22" s="2">
        <f t="shared" si="11"/>
        <v>6</v>
      </c>
      <c r="E22" s="2" t="str">
        <f t="shared" si="4"/>
        <v>168-183</v>
      </c>
      <c r="F22" s="2">
        <f t="shared" si="5"/>
        <v>167.5</v>
      </c>
      <c r="G22" s="2" t="str">
        <f t="shared" si="6"/>
        <v>167,5-183,5</v>
      </c>
      <c r="H22" s="2">
        <v>0</v>
      </c>
      <c r="I22" s="2">
        <f t="shared" si="7"/>
        <v>175.5</v>
      </c>
      <c r="J22" s="2">
        <f t="shared" si="8"/>
        <v>44</v>
      </c>
      <c r="K22" s="2">
        <f t="shared" si="9"/>
        <v>1</v>
      </c>
      <c r="L22" s="8">
        <f t="shared" si="10"/>
        <v>0</v>
      </c>
    </row>
    <row r="23" spans="1:12" x14ac:dyDescent="0.25">
      <c r="A23" s="2">
        <v>20</v>
      </c>
      <c r="B23" s="2">
        <v>148</v>
      </c>
      <c r="D23" s="2">
        <f t="shared" si="11"/>
        <v>7</v>
      </c>
      <c r="E23" s="2" t="str">
        <f t="shared" si="4"/>
        <v>184-199</v>
      </c>
      <c r="F23" s="2">
        <f t="shared" si="5"/>
        <v>183.5</v>
      </c>
      <c r="G23" s="2" t="str">
        <f t="shared" si="6"/>
        <v>183,5-199,5</v>
      </c>
      <c r="H23" s="2">
        <v>1</v>
      </c>
      <c r="I23" s="2">
        <f t="shared" si="7"/>
        <v>191.5</v>
      </c>
      <c r="J23" s="2">
        <f t="shared" si="8"/>
        <v>44</v>
      </c>
      <c r="K23" s="2">
        <f t="shared" si="9"/>
        <v>1</v>
      </c>
      <c r="L23" s="8">
        <f t="shared" si="10"/>
        <v>2.2222222222222223E-2</v>
      </c>
    </row>
    <row r="24" spans="1:12" x14ac:dyDescent="0.25">
      <c r="A24" s="2">
        <v>21</v>
      </c>
      <c r="B24" s="9">
        <v>127</v>
      </c>
      <c r="D24" s="10" t="s">
        <v>33</v>
      </c>
      <c r="E24" s="2"/>
      <c r="F24" s="2"/>
      <c r="G24" s="2"/>
      <c r="H24" s="10">
        <f>SUM(H17:H23)</f>
        <v>45</v>
      </c>
      <c r="I24" s="2"/>
      <c r="J24" s="2"/>
      <c r="K24" s="2"/>
      <c r="L24" s="11">
        <f>SUM(L17:L23)</f>
        <v>1</v>
      </c>
    </row>
    <row r="25" spans="1:12" x14ac:dyDescent="0.25">
      <c r="A25" s="2">
        <v>22</v>
      </c>
      <c r="B25" s="9">
        <v>125</v>
      </c>
      <c r="H25" s="12"/>
    </row>
    <row r="26" spans="1:12" x14ac:dyDescent="0.25">
      <c r="A26" s="2">
        <v>23</v>
      </c>
      <c r="B26" s="9">
        <v>125</v>
      </c>
      <c r="I26" s="2"/>
    </row>
    <row r="27" spans="1:12" x14ac:dyDescent="0.25">
      <c r="A27" s="2">
        <v>24</v>
      </c>
      <c r="B27" s="9">
        <v>120</v>
      </c>
    </row>
    <row r="28" spans="1:12" x14ac:dyDescent="0.25">
      <c r="A28" s="2">
        <v>25</v>
      </c>
      <c r="B28" s="9">
        <v>117</v>
      </c>
    </row>
    <row r="29" spans="1:12" x14ac:dyDescent="0.25">
      <c r="A29" s="2">
        <v>26</v>
      </c>
      <c r="B29" s="9">
        <v>95</v>
      </c>
    </row>
    <row r="30" spans="1:12" x14ac:dyDescent="0.25">
      <c r="A30" s="2">
        <v>27</v>
      </c>
      <c r="B30" s="9">
        <v>155</v>
      </c>
    </row>
    <row r="31" spans="1:12" x14ac:dyDescent="0.25">
      <c r="A31" s="2">
        <v>28</v>
      </c>
      <c r="B31" s="9">
        <v>104</v>
      </c>
    </row>
    <row r="32" spans="1:12" x14ac:dyDescent="0.25">
      <c r="A32" s="2">
        <v>29</v>
      </c>
      <c r="B32" s="9">
        <v>103</v>
      </c>
    </row>
    <row r="33" spans="1:2" x14ac:dyDescent="0.25">
      <c r="A33" s="2">
        <v>30</v>
      </c>
      <c r="B33" s="9">
        <v>97</v>
      </c>
    </row>
    <row r="34" spans="1:2" x14ac:dyDescent="0.25">
      <c r="A34" s="2">
        <v>31</v>
      </c>
      <c r="B34" s="9">
        <v>113</v>
      </c>
    </row>
    <row r="35" spans="1:2" x14ac:dyDescent="0.25">
      <c r="A35" s="2">
        <v>32</v>
      </c>
      <c r="B35" s="9">
        <v>155</v>
      </c>
    </row>
    <row r="36" spans="1:2" x14ac:dyDescent="0.25">
      <c r="A36" s="2">
        <v>33</v>
      </c>
      <c r="B36" s="9">
        <v>106</v>
      </c>
    </row>
    <row r="37" spans="1:2" x14ac:dyDescent="0.25">
      <c r="A37" s="2">
        <v>34</v>
      </c>
      <c r="B37" s="9">
        <v>113</v>
      </c>
    </row>
    <row r="38" spans="1:2" x14ac:dyDescent="0.25">
      <c r="A38" s="2">
        <v>35</v>
      </c>
      <c r="B38" s="9">
        <v>156</v>
      </c>
    </row>
    <row r="39" spans="1:2" x14ac:dyDescent="0.25">
      <c r="A39" s="2">
        <v>36</v>
      </c>
      <c r="B39" s="9">
        <v>96</v>
      </c>
    </row>
    <row r="40" spans="1:2" x14ac:dyDescent="0.25">
      <c r="A40" s="2">
        <v>37</v>
      </c>
      <c r="B40" s="9">
        <v>103</v>
      </c>
    </row>
    <row r="41" spans="1:2" x14ac:dyDescent="0.25">
      <c r="A41" s="2">
        <v>38</v>
      </c>
      <c r="B41" s="9">
        <v>139</v>
      </c>
    </row>
    <row r="42" spans="1:2" x14ac:dyDescent="0.25">
      <c r="A42" s="2">
        <v>39</v>
      </c>
      <c r="B42" s="9">
        <v>124</v>
      </c>
    </row>
    <row r="43" spans="1:2" x14ac:dyDescent="0.25">
      <c r="A43" s="2">
        <v>40</v>
      </c>
      <c r="B43" s="9">
        <v>120</v>
      </c>
    </row>
    <row r="44" spans="1:2" x14ac:dyDescent="0.25">
      <c r="A44" s="2">
        <v>41</v>
      </c>
      <c r="B44" s="9">
        <v>108</v>
      </c>
    </row>
    <row r="45" spans="1:2" x14ac:dyDescent="0.25">
      <c r="A45" s="2">
        <v>42</v>
      </c>
      <c r="B45" s="9">
        <v>112</v>
      </c>
    </row>
    <row r="46" spans="1:2" x14ac:dyDescent="0.25">
      <c r="A46" s="2">
        <v>43</v>
      </c>
      <c r="B46" s="9">
        <v>194</v>
      </c>
    </row>
    <row r="47" spans="1:2" x14ac:dyDescent="0.25">
      <c r="A47" s="2">
        <v>44</v>
      </c>
      <c r="B47" s="9">
        <v>138</v>
      </c>
    </row>
    <row r="48" spans="1:2" x14ac:dyDescent="0.25">
      <c r="A48" s="2">
        <v>45</v>
      </c>
      <c r="B48" s="9">
        <v>89</v>
      </c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Nitami Lestari</dc:creator>
  <dc:description/>
  <cp:lastModifiedBy>kokomi</cp:lastModifiedBy>
  <cp:revision>1</cp:revision>
  <dcterms:created xsi:type="dcterms:W3CDTF">2025-09-03T07:50:04Z</dcterms:created>
  <dcterms:modified xsi:type="dcterms:W3CDTF">2026-09-12T04:04:48Z</dcterms:modified>
  <dc:language>en-US</dc:language>
</cp:coreProperties>
</file>